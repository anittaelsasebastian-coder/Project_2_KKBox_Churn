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Pilot" sheetId="3" state="visible" r:id="rId3"/>
    <sheet name="Assump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(0.0%);&quot;-&quot;"/>
    <numFmt numFmtId="165" formatCode="#,##0;(#,##0);&quot;-&quot;"/>
    <numFmt numFmtId="166" formatCode="#,##0.0"/>
    <numFmt numFmtId="167" formatCode="0.0x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3" fontId="5" fillId="3" borderId="0" applyAlignment="1" pivotButton="0" quotePrefix="0" xfId="0">
      <alignment vertical="center"/>
    </xf>
    <xf numFmtId="165" fontId="5" fillId="3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Analyst</author>
  </authors>
  <commentList>
    <comment ref="A5" authorId="0" shapeId="0">
      <text>
        <t>Planning values, not estimates. The pilot measures the real effect.</t>
      </text>
    </comment>
    <comment ref="A6" authorId="0" shapeId="0">
      <text>
        <t>Assumption.</t>
      </text>
    </comment>
    <comment ref="A7" authorId="0" shapeId="0">
      <text>
        <t>Assumption. Music streaming margins are thin after royalties.</t>
      </text>
    </comment>
    <comment ref="A8" authorId="0" shapeId="0">
      <text>
        <t>Assumption: email and in-app prompt.</t>
      </text>
    </comment>
    <comment ref="A9" authorId="0" shapeId="0">
      <text>
        <t>Assumption.</t>
      </text>
    </comment>
    <comment ref="A10" authorId="0" shapeId="0">
      <text>
        <t>Base design has no price incentive. Low case tests a 30 NTD incentive.</t>
      </text>
    </comment>
  </commentList>
</comments>
</file>

<file path=xl/comments/comment2.xml><?xml version="1.0" encoding="utf-8"?>
<comments xmlns="http://schemas.openxmlformats.org/spreadsheetml/2006/main">
  <authors>
    <author>Analyst</author>
  </authors>
  <commentList>
    <comment ref="B5" authorId="0" shapeId="0">
      <text>
        <t>Planning assumption.</t>
      </text>
    </comment>
    <comment ref="B13" authorId="0" shapeId="0">
      <text>
        <t>Unknown outside the sample. Confirm with Retention, then type it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44" customWidth="1" min="3" max="3"/>
  </cols>
  <sheetData>
    <row r="1">
      <c r="A1" s="1" t="inlineStr">
        <is>
          <t>KKBox auto-renew nudge pilot: business case</t>
        </is>
      </c>
      <c r="B1" s="2" t="n"/>
      <c r="C1" s="2" t="n"/>
    </row>
    <row r="2">
      <c r="A2" s="3" t="inlineStr">
        <is>
          <t>Blue text = input you can change. Yellow fill = assumption, not data. All other numbers are formulas.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Source</t>
        </is>
      </c>
    </row>
    <row r="5">
      <c r="A5" s="5" t="inlineStr">
        <is>
          <t>Manual-renew customers in sample</t>
        </is>
      </c>
      <c r="B5" s="6" t="n">
        <v>1015</v>
      </c>
      <c r="C5" s="5" t="inlineStr">
        <is>
          <t>dashboard_outputs/renewal_summary.csv</t>
        </is>
      </c>
    </row>
    <row r="6">
      <c r="A6" s="5" t="inlineStr">
        <is>
          <t>Baseline churn, manual-renew</t>
        </is>
      </c>
      <c r="B6" s="7" t="n">
        <v>0.4158</v>
      </c>
      <c r="C6" s="5" t="inlineStr">
        <is>
          <t>dashboard_outputs/renewal_summary.csv</t>
        </is>
      </c>
    </row>
    <row r="7">
      <c r="A7" s="5" t="inlineStr">
        <is>
          <t>Avg monthly revenue of a churned manual-renew customer (NTD)</t>
        </is>
      </c>
      <c r="B7" s="8" t="n">
        <v>140.76</v>
      </c>
      <c r="C7" s="5" t="inlineStr">
        <is>
          <t>dashboard_outputs/scenario_summary.csv</t>
        </is>
      </c>
    </row>
    <row r="8">
      <c r="A8" s="2" t="n"/>
      <c r="B8" s="2" t="n"/>
      <c r="C8" s="2" t="n"/>
    </row>
    <row r="9">
      <c r="A9" s="3" t="inlineStr">
        <is>
          <t>Scenario levers are on the Scenarios sheet (row 5 to 10).</t>
        </is>
      </c>
      <c r="B9" s="2" t="n"/>
      <c r="C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Costed scenarios (sample scale: customers contacted = manual-renew sample)</t>
        </is>
      </c>
      <c r="B1" s="2" t="n"/>
      <c r="C1" s="2" t="n"/>
      <c r="D1" s="2" t="n"/>
    </row>
    <row r="2">
      <c r="A2" s="3" t="inlineStr">
        <is>
          <t>Levers in yellow are assumptions. Change them to test the case.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Lever (assumption)</t>
        </is>
      </c>
      <c r="B4" s="4" t="inlineStr">
        <is>
          <t>Low</t>
        </is>
      </c>
      <c r="C4" s="4" t="inlineStr">
        <is>
          <t>Base</t>
        </is>
      </c>
      <c r="D4" s="4" t="inlineStr">
        <is>
          <t>High</t>
        </is>
      </c>
    </row>
    <row r="5">
      <c r="A5" s="5" t="inlineStr">
        <is>
          <t>Churn reduction (percentage points)</t>
        </is>
      </c>
      <c r="B5" s="9" t="n">
        <v>0.02</v>
      </c>
      <c r="C5" s="9" t="n">
        <v>0.05</v>
      </c>
      <c r="D5" s="9" t="n">
        <v>0.1</v>
      </c>
    </row>
    <row r="6">
      <c r="A6" s="5" t="inlineStr">
        <is>
          <t>Months a saved customer stays</t>
        </is>
      </c>
      <c r="B6" s="10" t="n">
        <v>3</v>
      </c>
      <c r="C6" s="10" t="n">
        <v>6</v>
      </c>
      <c r="D6" s="10" t="n">
        <v>12</v>
      </c>
    </row>
    <row r="7">
      <c r="A7" s="5" t="inlineStr">
        <is>
          <t>Contribution margin on revenue</t>
        </is>
      </c>
      <c r="B7" s="9" t="n">
        <v>0.25</v>
      </c>
      <c r="C7" s="9" t="n">
        <v>0.3</v>
      </c>
      <c r="D7" s="9" t="n">
        <v>0.35</v>
      </c>
    </row>
    <row r="8">
      <c r="A8" s="5" t="inlineStr">
        <is>
          <t>Contact cost per customer (NTD)</t>
        </is>
      </c>
      <c r="B8" s="11" t="n">
        <v>5</v>
      </c>
      <c r="C8" s="11" t="n">
        <v>2</v>
      </c>
      <c r="D8" s="11" t="n">
        <v>1</v>
      </c>
    </row>
    <row r="9">
      <c r="A9" s="5" t="inlineStr">
        <is>
          <t>Opt-in rate to auto-renew</t>
        </is>
      </c>
      <c r="B9" s="9" t="n">
        <v>0.2</v>
      </c>
      <c r="C9" s="9" t="n">
        <v>0.3</v>
      </c>
      <c r="D9" s="9" t="n">
        <v>0.4</v>
      </c>
    </row>
    <row r="10">
      <c r="A10" s="5" t="inlineStr">
        <is>
          <t>Incentive per opt-in (NTD)</t>
        </is>
      </c>
      <c r="B10" s="11" t="n">
        <v>30</v>
      </c>
      <c r="C10" s="11" t="n">
        <v>0</v>
      </c>
      <c r="D10" s="11" t="n">
        <v>0</v>
      </c>
    </row>
    <row r="11">
      <c r="A11" s="2" t="n"/>
      <c r="B11" s="2" t="n"/>
      <c r="C11" s="2" t="n"/>
      <c r="D11" s="2" t="n"/>
    </row>
    <row r="12">
      <c r="A12" s="4" t="inlineStr">
        <is>
          <t>Result (formula)</t>
        </is>
      </c>
      <c r="B12" s="4" t="inlineStr">
        <is>
          <t>Low</t>
        </is>
      </c>
      <c r="C12" s="4" t="inlineStr">
        <is>
          <t>Base</t>
        </is>
      </c>
      <c r="D12" s="4" t="inlineStr">
        <is>
          <t>High</t>
        </is>
      </c>
    </row>
    <row r="13">
      <c r="A13" s="5" t="inlineStr">
        <is>
          <t>Customers contacted</t>
        </is>
      </c>
      <c r="B13" s="12">
        <f>Inputs!$B$5</f>
        <v/>
      </c>
      <c r="C13" s="12">
        <f>Inputs!$B$5</f>
        <v/>
      </c>
      <c r="D13" s="12">
        <f>Inputs!$B$5</f>
        <v/>
      </c>
    </row>
    <row r="14">
      <c r="A14" s="5" t="inlineStr">
        <is>
          <t>Avoided churners</t>
        </is>
      </c>
      <c r="B14" s="13">
        <f>B13*B5</f>
        <v/>
      </c>
      <c r="C14" s="13">
        <f>C13*C5</f>
        <v/>
      </c>
      <c r="D14" s="13">
        <f>D13*D5</f>
        <v/>
      </c>
    </row>
    <row r="15">
      <c r="A15" s="5" t="inlineStr">
        <is>
          <t>Retained contribution (NTD)</t>
        </is>
      </c>
      <c r="B15" s="14">
        <f>B14*Inputs!$B$7*B7*B6</f>
        <v/>
      </c>
      <c r="C15" s="14">
        <f>C14*Inputs!$B$7*C7*C6</f>
        <v/>
      </c>
      <c r="D15" s="14">
        <f>D14*Inputs!$B$7*D7*D6</f>
        <v/>
      </c>
    </row>
    <row r="16">
      <c r="A16" s="5" t="inlineStr">
        <is>
          <t>Programme cost (NTD)</t>
        </is>
      </c>
      <c r="B16" s="14">
        <f>B13*B8+B13*B9*B10</f>
        <v/>
      </c>
      <c r="C16" s="14">
        <f>C13*C8+C13*C9*C10</f>
        <v/>
      </c>
      <c r="D16" s="14">
        <f>D13*D8+D13*D9*D10</f>
        <v/>
      </c>
    </row>
    <row r="17">
      <c r="A17" s="15" t="inlineStr">
        <is>
          <t>Net value (NTD)</t>
        </is>
      </c>
      <c r="B17" s="16">
        <f>B15-B16</f>
        <v/>
      </c>
      <c r="C17" s="16">
        <f>C15-C16</f>
        <v/>
      </c>
      <c r="D17" s="16">
        <f>D15-D16</f>
        <v/>
      </c>
    </row>
    <row r="18">
      <c r="A18" s="5" t="inlineStr">
        <is>
          <t>Return on cost</t>
        </is>
      </c>
      <c r="B18" s="17">
        <f>IFERROR(B17/B16,"n/a")</f>
        <v/>
      </c>
      <c r="C18" s="17">
        <f>IFERROR(C17/C16,"n/a")</f>
        <v/>
      </c>
      <c r="D18" s="17">
        <f>IFERROR(D17/D16,"n/a")</f>
        <v/>
      </c>
    </row>
    <row r="19">
      <c r="A19" s="15" t="inlineStr">
        <is>
          <t>Break-even churn reduction (points)</t>
        </is>
      </c>
      <c r="B19" s="18">
        <f>IFERROR(B16/(B13*Inputs!$B$7*B7*B6),0)</f>
        <v/>
      </c>
      <c r="C19" s="18">
        <f>IFERROR(C16/(C13*Inputs!$B$7*C7*C6),0)</f>
        <v/>
      </c>
      <c r="D19" s="18">
        <f>IFERROR(D16/(D13*Inputs!$B$7*D7*D6),0)</f>
        <v/>
      </c>
    </row>
    <row r="20">
      <c r="A20" s="5" t="inlineStr">
        <is>
          <t>Assumed effect vs break-even</t>
        </is>
      </c>
      <c r="B20" s="5">
        <f>IF(B5&gt;=B19,"Above break-even","Below break-even")</f>
        <v/>
      </c>
      <c r="C20" s="5">
        <f>IF(C5&gt;=C19,"Above break-even","Below break-even")</f>
        <v/>
      </c>
      <c r="D20" s="5">
        <f>IF(D5&gt;=D19,"Above break-even","Below break-even")</f>
        <v/>
      </c>
    </row>
    <row r="21">
      <c r="A21" s="2" t="n"/>
      <c r="B21" s="2" t="n"/>
      <c r="C21" s="2" t="n"/>
      <c r="D21" s="2" t="n"/>
    </row>
    <row r="22">
      <c r="A22" s="15" t="inlineStr">
        <is>
          <t>Sensitivity: net value (NTD) by churn reduction, other levers at Base</t>
        </is>
      </c>
      <c r="B22" s="2" t="n"/>
      <c r="C22" s="2" t="n"/>
      <c r="D22" s="2" t="n"/>
    </row>
    <row r="23">
      <c r="A23" s="4" t="inlineStr">
        <is>
          <t>Churn reduction (points)</t>
        </is>
      </c>
      <c r="B23" s="4" t="inlineStr">
        <is>
          <t>Net value (NTD)</t>
        </is>
      </c>
      <c r="C23" s="2" t="n"/>
      <c r="D23" s="2" t="n"/>
    </row>
    <row r="24">
      <c r="A24" s="7" t="n">
        <v>0.01</v>
      </c>
      <c r="B24" s="14">
        <f>$C$13*A24*Inputs!$B$7*$C$7*$C$6-$C$16</f>
        <v/>
      </c>
      <c r="C24" s="2" t="n"/>
      <c r="D24" s="2" t="n"/>
    </row>
    <row r="25">
      <c r="A25" s="7" t="n">
        <v>0.02</v>
      </c>
      <c r="B25" s="14">
        <f>$C$13*A25*Inputs!$B$7*$C$7*$C$6-$C$16</f>
        <v/>
      </c>
      <c r="C25" s="2" t="n"/>
      <c r="D25" s="2" t="n"/>
    </row>
    <row r="26">
      <c r="A26" s="7" t="n">
        <v>0.03</v>
      </c>
      <c r="B26" s="14">
        <f>$C$13*A26*Inputs!$B$7*$C$7*$C$6-$C$16</f>
        <v/>
      </c>
      <c r="C26" s="2" t="n"/>
      <c r="D26" s="2" t="n"/>
    </row>
    <row r="27">
      <c r="A27" s="7" t="n">
        <v>0.05</v>
      </c>
      <c r="B27" s="14">
        <f>$C$13*A27*Inputs!$B$7*$C$7*$C$6-$C$16</f>
        <v/>
      </c>
      <c r="C27" s="2" t="n"/>
      <c r="D27" s="2" t="n"/>
    </row>
    <row r="28">
      <c r="A28" s="7" t="n">
        <v>0.07000000000000001</v>
      </c>
      <c r="B28" s="14">
        <f>$C$13*A28*Inputs!$B$7*$C$7*$C$6-$C$16</f>
        <v/>
      </c>
      <c r="C28" s="2" t="n"/>
      <c r="D28" s="2" t="n"/>
    </row>
    <row r="29">
      <c r="A29" s="7" t="n">
        <v>0.1</v>
      </c>
      <c r="B29" s="14">
        <f>$C$13*A29*Inputs!$B$7*$C$7*$C$6-$C$16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3" t="inlineStr">
        <is>
          <t>Sample scale only. At full scale, multiply customers contacted by the eligible volume. Figures are what-ifs, not forecasts.</t>
        </is>
      </c>
      <c r="B31" s="2" t="n"/>
      <c r="C31" s="2" t="n"/>
      <c r="D31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Pilot sample size (two-proportion test, 1:1 randomisation)</t>
        </is>
      </c>
      <c r="B1" s="2" t="n"/>
    </row>
    <row r="2">
      <c r="A2" s="2" t="n"/>
      <c r="B2" s="2" t="n"/>
    </row>
    <row r="3">
      <c r="A3" s="4" t="inlineStr">
        <is>
          <t>Input</t>
        </is>
      </c>
      <c r="B3" s="4" t="inlineStr">
        <is>
          <t>Value</t>
        </is>
      </c>
    </row>
    <row r="4">
      <c r="A4" s="5" t="inlineStr">
        <is>
          <t>Baseline churn (from Inputs)</t>
        </is>
      </c>
      <c r="B4" s="19">
        <f>Inputs!B6</f>
        <v/>
      </c>
    </row>
    <row r="5">
      <c r="A5" s="5" t="inlineStr">
        <is>
          <t>Minimum effect to detect (points)</t>
        </is>
      </c>
      <c r="B5" s="9" t="n">
        <v>0.05</v>
      </c>
    </row>
    <row r="6">
      <c r="A6" s="5" t="inlineStr">
        <is>
          <t>Significance (two-sided)</t>
        </is>
      </c>
      <c r="B6" s="7" t="n">
        <v>0.05</v>
      </c>
    </row>
    <row r="7">
      <c r="A7" s="5" t="inlineStr">
        <is>
          <t>Power</t>
        </is>
      </c>
      <c r="B7" s="7" t="n">
        <v>0.8</v>
      </c>
    </row>
    <row r="8">
      <c r="A8" s="2" t="n"/>
      <c r="B8" s="2" t="n"/>
    </row>
    <row r="9">
      <c r="A9" s="4" t="inlineStr">
        <is>
          <t>Result (formula)</t>
        </is>
      </c>
      <c r="B9" s="4" t="inlineStr">
        <is>
          <t>Value</t>
        </is>
      </c>
    </row>
    <row r="10">
      <c r="A10" s="15" t="inlineStr">
        <is>
          <t>Customers per arm</t>
        </is>
      </c>
      <c r="B10" s="20">
        <f>ROUNDUP((NORMSINV(1-B6/2)+NORMSINV(B7))^2*(B4*(1-B4)+(B4-B5)*(1-(B4-B5)))/B5^2,0)</f>
        <v/>
      </c>
    </row>
    <row r="11">
      <c r="A11" s="5" t="inlineStr">
        <is>
          <t>Total eligible customers needed</t>
        </is>
      </c>
      <c r="B11" s="12">
        <f>2*B10</f>
        <v/>
      </c>
    </row>
    <row r="12">
      <c r="A12" s="2" t="n"/>
      <c r="B12" s="2" t="n"/>
    </row>
    <row r="13">
      <c r="A13" s="5" t="inlineStr">
        <is>
          <t>Monthly eligible volume at full scale</t>
        </is>
      </c>
      <c r="B13" s="10" t="n"/>
    </row>
    <row r="14">
      <c r="A14" s="5" t="inlineStr">
        <is>
          <t>Months of enrolment needed</t>
        </is>
      </c>
      <c r="B14" s="12">
        <f>IF(B13="","Enter volume in B13",ROUNDUP(B11/B13,0))</f>
        <v/>
      </c>
    </row>
    <row r="15">
      <c r="A15" s="2" t="n"/>
      <c r="B15" s="2" t="n"/>
    </row>
    <row r="16">
      <c r="A16" s="3" t="inlineStr">
        <is>
          <t>The 7,500-customer analysis sample is not the pilot population. The pilot runs on the full customer base, so feasibility depends on B13.</t>
        </is>
      </c>
      <c r="B16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36" customWidth="1" min="4" max="4"/>
  </cols>
  <sheetData>
    <row r="1">
      <c r="A1" s="4" t="inlineStr">
        <is>
          <t>Item</t>
        </is>
      </c>
      <c r="B1" s="4" t="inlineStr">
        <is>
          <t>Type</t>
        </is>
      </c>
      <c r="C1" s="4" t="inlineStr">
        <is>
          <t>Where</t>
        </is>
      </c>
      <c r="D1" s="4" t="inlineStr">
        <is>
          <t>Why it matters</t>
        </is>
      </c>
    </row>
    <row r="2">
      <c r="A2" s="5" t="inlineStr">
        <is>
          <t>Churn reduction 2 / 5 / 10 points</t>
        </is>
      </c>
      <c r="B2" s="5" t="inlineStr">
        <is>
          <t>Assumption</t>
        </is>
      </c>
      <c r="C2" s="5" t="inlineStr">
        <is>
          <t>Scenarios row 5</t>
        </is>
      </c>
      <c r="D2" s="5" t="inlineStr">
        <is>
          <t>Drives all value</t>
        </is>
      </c>
    </row>
    <row r="3">
      <c r="A3" s="5" t="inlineStr">
        <is>
          <t>Months retained 3 / 6 / 12</t>
        </is>
      </c>
      <c r="B3" s="5" t="inlineStr">
        <is>
          <t>Assumption</t>
        </is>
      </c>
      <c r="C3" s="5" t="inlineStr">
        <is>
          <t>Scenarios row 6</t>
        </is>
      </c>
      <c r="D3" s="5" t="inlineStr">
        <is>
          <t>Scales value linearly</t>
        </is>
      </c>
    </row>
    <row r="4">
      <c r="A4" s="5" t="inlineStr">
        <is>
          <t>Margin 25% / 30% / 35%</t>
        </is>
      </c>
      <c r="B4" s="5" t="inlineStr">
        <is>
          <t>Assumption</t>
        </is>
      </c>
      <c r="C4" s="5" t="inlineStr">
        <is>
          <t>Scenarios row 7</t>
        </is>
      </c>
      <c r="D4" s="5" t="inlineStr">
        <is>
          <t>Revenue is not profit</t>
        </is>
      </c>
    </row>
    <row r="5">
      <c r="A5" s="5" t="inlineStr">
        <is>
          <t>Contact cost 5 / 2 / 1 NTD</t>
        </is>
      </c>
      <c r="B5" s="5" t="inlineStr">
        <is>
          <t>Assumption</t>
        </is>
      </c>
      <c r="C5" s="5" t="inlineStr">
        <is>
          <t>Scenarios row 8</t>
        </is>
      </c>
      <c r="D5" s="5" t="inlineStr">
        <is>
          <t>Main programme cost</t>
        </is>
      </c>
    </row>
    <row r="6">
      <c r="A6" s="5" t="inlineStr">
        <is>
          <t>Opt-in rate, incentive</t>
        </is>
      </c>
      <c r="B6" s="5" t="inlineStr">
        <is>
          <t>Assumption</t>
        </is>
      </c>
      <c r="C6" s="5" t="inlineStr">
        <is>
          <t>Scenarios rows 9-10</t>
        </is>
      </c>
      <c r="D6" s="5" t="inlineStr">
        <is>
          <t>Only matters with an incentive</t>
        </is>
      </c>
    </row>
    <row r="7">
      <c r="A7" s="5" t="inlineStr">
        <is>
          <t>5-point minimum effect</t>
        </is>
      </c>
      <c r="B7" s="5" t="inlineStr">
        <is>
          <t>Assumption</t>
        </is>
      </c>
      <c r="C7" s="5" t="inlineStr">
        <is>
          <t>Pilot B5</t>
        </is>
      </c>
      <c r="D7" s="5" t="inlineStr">
        <is>
          <t>Smaller effect needs a bigger pilot</t>
        </is>
      </c>
    </row>
    <row r="8">
      <c r="A8" s="5" t="inlineStr">
        <is>
          <t>Monthly eligible volume</t>
        </is>
      </c>
      <c r="B8" s="5" t="inlineStr">
        <is>
          <t>Unknown</t>
        </is>
      </c>
      <c r="C8" s="5" t="inlineStr">
        <is>
          <t>Pilot B13</t>
        </is>
      </c>
      <c r="D8" s="5" t="inlineStr">
        <is>
          <t>Decides pilot duration</t>
        </is>
      </c>
    </row>
    <row r="9">
      <c r="A9" s="5" t="inlineStr">
        <is>
          <t>Customers, churn, revenue</t>
        </is>
      </c>
      <c r="B9" s="5" t="inlineStr">
        <is>
          <t>Data (sample)</t>
        </is>
      </c>
      <c r="C9" s="5" t="inlineStr">
        <is>
          <t>Inputs B5:B7</t>
        </is>
      </c>
      <c r="D9" s="5" t="inlineStr">
        <is>
          <t>2017 sample, not company-wide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2026-10-21T18:14:11Z</dcterms:created>
  <dcterms:modified xsi:type="dcterms:W3CDTF">2026-10-21T18:14:11Z</dcterms:modified>
</cp:coreProperties>
</file>